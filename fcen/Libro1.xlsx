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no\fcen\"/>
    </mc:Choice>
  </mc:AlternateContent>
  <xr:revisionPtr revIDLastSave="0" documentId="13_ncr:1_{F793DD30-666A-4322-8E80-FE7F5DBF054B}" xr6:coauthVersionLast="47" xr6:coauthVersionMax="47" xr10:uidLastSave="{00000000-0000-0000-0000-000000000000}"/>
  <bookViews>
    <workbookView xWindow="-120" yWindow="-120" windowWidth="29040" windowHeight="15840" xr2:uid="{454922A8-3619-4B36-8F09-99D7CF0B87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L3" i="1"/>
  <c r="K3" i="1"/>
  <c r="P2" i="1"/>
  <c r="P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<sst xmlns="http://schemas.openxmlformats.org/spreadsheetml/2006/main" count="47" uniqueCount="37">
  <si>
    <t>1er año</t>
  </si>
  <si>
    <t>1er cuatri</t>
  </si>
  <si>
    <t>2do cuatri</t>
  </si>
  <si>
    <t>2do año</t>
  </si>
  <si>
    <t>4to año</t>
  </si>
  <si>
    <t>5to año</t>
  </si>
  <si>
    <t>F1</t>
  </si>
  <si>
    <t>M1</t>
  </si>
  <si>
    <t>M2</t>
  </si>
  <si>
    <t>F2</t>
  </si>
  <si>
    <t>M3</t>
  </si>
  <si>
    <t>CN</t>
  </si>
  <si>
    <t>F3</t>
  </si>
  <si>
    <t>M4</t>
  </si>
  <si>
    <t>L1</t>
  </si>
  <si>
    <t>F4</t>
  </si>
  <si>
    <t>L2</t>
  </si>
  <si>
    <t>L3</t>
  </si>
  <si>
    <t>L4</t>
  </si>
  <si>
    <t>L5</t>
  </si>
  <si>
    <t>L6</t>
  </si>
  <si>
    <t>L7</t>
  </si>
  <si>
    <t>MC</t>
  </si>
  <si>
    <t>FT1</t>
  </si>
  <si>
    <t>FT2</t>
  </si>
  <si>
    <t>E1</t>
  </si>
  <si>
    <t>E4</t>
  </si>
  <si>
    <t>OPT</t>
  </si>
  <si>
    <t>E2</t>
  </si>
  <si>
    <t>E3</t>
  </si>
  <si>
    <t>TESIS</t>
  </si>
  <si>
    <t>VERANO:(?)</t>
  </si>
  <si>
    <t>3er año</t>
  </si>
  <si>
    <t>Promedio</t>
  </si>
  <si>
    <t>RG</t>
  </si>
  <si>
    <t>FT3/QFT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</si>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</sst>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0C3B-07EB-41DA-AEE6-8F21C87A3723}">
  <dimension ref="A1:P11"/>
  <sheetViews>
    <sheetView tabSelected="1" workbookViewId="0">
      <selection activeCell="L5" sqref="L5"/>
    </sheetView>
  </sheetViews>
  <sheetFormatPr defaultColWidth="11.42578125" defaultRowHeight="15" x14ac:dyDescent="0.25"/>
  <cols>
    <col min="12" max="12" width="11.85546875" bestFit="1" customWidth="1"/>
  </cols>
  <sheetData>
    <row r="1" spans="1:16" x14ac:dyDescent="0.25">
      <c r="A1" t="s">
        <v>0</v>
      </c>
      <c r="C1" t="s">
        <v>3</v>
      </c>
      <c r="E1" t="s">
        <v>32</v>
      </c>
      <c r="G1" t="s">
        <v>4</v>
      </c>
      <c r="I1" t="s">
        <v>5</v>
      </c>
      <c r="O1">
        <v>10</v>
      </c>
      <c r="P1">
        <f>SUM(A4,B4,C4,D4,A8,C8,D8,A6,B6,O1,O1)/11</f>
        <v>8.9090909090909083</v>
      </c>
    </row>
    <row r="2" spans="1:16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36</v>
      </c>
      <c r="L2" t="s">
        <v>33</v>
      </c>
      <c r="O2">
        <v>9</v>
      </c>
      <c r="P2">
        <f>SUM(A4,B4,C4,D4,A8,C8,D8,A6,B6,O1,O2)/11</f>
        <v>8.8181818181818183</v>
      </c>
    </row>
    <row r="3" spans="1:16" x14ac:dyDescent="0.25">
      <c r="A3" t="s">
        <v>6</v>
      </c>
      <c r="B3" t="s">
        <v>9</v>
      </c>
      <c r="C3" t="s">
        <v>12</v>
      </c>
      <c r="D3" t="s">
        <v>15</v>
      </c>
      <c r="E3" t="s">
        <v>23</v>
      </c>
      <c r="F3" t="s">
        <v>24</v>
      </c>
      <c r="G3" t="s">
        <v>35</v>
      </c>
      <c r="H3" t="s">
        <v>35</v>
      </c>
      <c r="I3" t="s">
        <v>30</v>
      </c>
      <c r="J3" t="s">
        <v>30</v>
      </c>
      <c r="K3">
        <f>(SUM(A4:I4)+SUM(A6:J6)+SUM(A8:I8)+A11)</f>
        <v>117</v>
      </c>
      <c r="L3">
        <f>(SUM(A4:I4)+SUM(A6:J6)+SUM(A8:I8)+A11)/28</f>
        <v>4.1785714285714288</v>
      </c>
      <c r="O3">
        <v>8</v>
      </c>
      <c r="P3">
        <f>SUM(A4,B4,C4,D4,A8,C8,D8,A6,B6,O3)/10</f>
        <v>8.6</v>
      </c>
    </row>
    <row r="4" spans="1:16" x14ac:dyDescent="0.25">
      <c r="A4">
        <v>10</v>
      </c>
      <c r="B4">
        <v>10</v>
      </c>
      <c r="C4">
        <v>8</v>
      </c>
      <c r="D4">
        <v>9</v>
      </c>
      <c r="L4">
        <f>SUM(A4,B4,C4,D4,A8,C8,D8,A6,B6,D6,A11,E8,C6)/13</f>
        <v>9</v>
      </c>
      <c r="O4">
        <v>7</v>
      </c>
      <c r="P4">
        <f>SUM(A4,B4,C4,D4,A8,C8,D8,A6,B6,O4)/10</f>
        <v>8.5</v>
      </c>
    </row>
    <row r="5" spans="1:16" x14ac:dyDescent="0.25">
      <c r="A5" t="s">
        <v>7</v>
      </c>
      <c r="B5" t="s">
        <v>10</v>
      </c>
      <c r="C5" t="s">
        <v>13</v>
      </c>
      <c r="D5" t="s">
        <v>22</v>
      </c>
      <c r="E5" t="s">
        <v>25</v>
      </c>
      <c r="F5" t="s">
        <v>34</v>
      </c>
      <c r="G5" t="s">
        <v>26</v>
      </c>
      <c r="H5" t="s">
        <v>28</v>
      </c>
      <c r="I5" t="s">
        <v>29</v>
      </c>
      <c r="J5" t="s">
        <v>27</v>
      </c>
      <c r="O5">
        <v>6</v>
      </c>
      <c r="P5">
        <f>SUM(A4,B4,C4,D4,A8,C8,D8,A6,B6,O5)/10</f>
        <v>8.4</v>
      </c>
    </row>
    <row r="6" spans="1:16" x14ac:dyDescent="0.25">
      <c r="A6">
        <v>10</v>
      </c>
      <c r="B6">
        <v>6</v>
      </c>
      <c r="C6">
        <v>10</v>
      </c>
      <c r="D6">
        <v>10</v>
      </c>
      <c r="O6">
        <v>5</v>
      </c>
      <c r="P6">
        <f>SUM(A4,B4,C4,D4,A8,C8,D8,A6,B6,O6)/10</f>
        <v>8.3000000000000007</v>
      </c>
    </row>
    <row r="7" spans="1:16" x14ac:dyDescent="0.25">
      <c r="A7" t="s">
        <v>8</v>
      </c>
      <c r="B7" t="s">
        <v>11</v>
      </c>
      <c r="C7" t="s">
        <v>14</v>
      </c>
      <c r="D7" t="s">
        <v>16</v>
      </c>
      <c r="E7" t="s">
        <v>18</v>
      </c>
      <c r="F7" t="s">
        <v>19</v>
      </c>
      <c r="G7" t="s">
        <v>20</v>
      </c>
      <c r="H7" t="s">
        <v>21</v>
      </c>
      <c r="O7">
        <v>4</v>
      </c>
      <c r="P7">
        <f>SUM(A4,B4,C4,D4,A8,C8,D8,A6,B6,O7)/10</f>
        <v>8.1999999999999993</v>
      </c>
    </row>
    <row r="8" spans="1:16" x14ac:dyDescent="0.25">
      <c r="A8">
        <v>8</v>
      </c>
      <c r="C8">
        <v>9</v>
      </c>
      <c r="D8">
        <v>8</v>
      </c>
      <c r="E8">
        <v>9</v>
      </c>
      <c r="O8">
        <v>3</v>
      </c>
      <c r="P8">
        <f>SUM(A4,B4,C4,D4,A8,C8,D8,A6,B6,O8)/10</f>
        <v>8.1</v>
      </c>
    </row>
    <row r="9" spans="1:16" x14ac:dyDescent="0.25">
      <c r="A9" t="s">
        <v>31</v>
      </c>
      <c r="O9">
        <v>2</v>
      </c>
      <c r="P9">
        <f>SUM(A4,B4,C4,D4,A8,C8,D8,A6,B6,O9)/10</f>
        <v>8</v>
      </c>
    </row>
    <row r="10" spans="1:16" x14ac:dyDescent="0.25">
      <c r="A10" t="s">
        <v>17</v>
      </c>
      <c r="O10">
        <v>1</v>
      </c>
      <c r="P10">
        <f>SUM(A4,B4,C4,D4,A8,C8,D8,A6,B6,O10)/10</f>
        <v>7.9</v>
      </c>
    </row>
    <row r="11" spans="1:16" x14ac:dyDescent="0.2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Sattler</dc:creator>
  <cp:lastModifiedBy>Martin Sattler</cp:lastModifiedBy>
  <dcterms:created xsi:type="dcterms:W3CDTF">2020-11-21T00:21:02Z</dcterms:created>
  <dcterms:modified xsi:type="dcterms:W3CDTF">2022-09-17T04:27:34Z</dcterms:modified>
</cp:coreProperties>
</file>